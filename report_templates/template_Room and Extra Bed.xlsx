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1\Desktop\biir's\report\23-27\"/>
    </mc:Choice>
  </mc:AlternateContent>
  <xr:revisionPtr revIDLastSave="0" documentId="13_ncr:1_{422DB3B0-CEA5-4481-B675-ADD0F1B7022F}" xr6:coauthVersionLast="47" xr6:coauthVersionMax="47" xr10:uidLastSave="{00000000-0000-0000-0000-000000000000}"/>
  <bookViews>
    <workbookView xWindow="-120" yWindow="-120" windowWidth="29040" windowHeight="15720" activeTab="1" xr2:uid="{5DCD57E4-1E09-4EBC-9115-AF0C52D21A70}"/>
  </bookViews>
  <sheets>
    <sheet name="report" sheetId="3" r:id="rId1"/>
    <sheet name="cost" sheetId="4" r:id="rId2"/>
  </sheets>
  <calcPr calcId="191029"/>
</workbook>
</file>

<file path=xl/calcChain.xml><?xml version="1.0" encoding="utf-8"?>
<calcChain xmlns="http://schemas.openxmlformats.org/spreadsheetml/2006/main">
  <c r="P12" i="4" l="1"/>
  <c r="P13" i="4"/>
  <c r="P14" i="4"/>
  <c r="N12" i="4"/>
  <c r="N13" i="4"/>
  <c r="N14" i="4"/>
  <c r="N11" i="4"/>
  <c r="P11" i="4"/>
  <c r="G14" i="4"/>
  <c r="G13" i="4"/>
  <c r="G12" i="4"/>
  <c r="G11" i="4"/>
</calcChain>
</file>

<file path=xl/sharedStrings.xml><?xml version="1.0" encoding="utf-8"?>
<sst xmlns="http://schemas.openxmlformats.org/spreadsheetml/2006/main" count="70" uniqueCount="40">
  <si>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</si>
  <si>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</si>
  <si>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</si>
  <si>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</si>
  <si>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</si>
  <si>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</si>
  <si>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</si>
  <si>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</si>
  <si>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</si>
  <si>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December</t>
  </si>
  <si>
    <t>Room name</t>
  </si>
  <si>
    <t>Total VC</t>
  </si>
  <si>
    <t>Total Nights</t>
  </si>
  <si>
    <t>Total Cost</t>
  </si>
  <si>
    <t>Total Cost - Nights</t>
  </si>
  <si>
    <t>Total Cost - Other</t>
  </si>
  <si>
    <t>Average Nights</t>
  </si>
  <si>
    <t>ADT</t>
  </si>
  <si>
    <t>CHD</t>
  </si>
  <si>
    <t>Total VC - ADT ONLY</t>
  </si>
  <si>
    <t>Total VC - ADT+CHD</t>
  </si>
  <si>
    <t>AMARI SAMUI</t>
  </si>
  <si>
    <t>update 24 Apr 26</t>
  </si>
  <si>
    <t>Shared Bed</t>
  </si>
  <si>
    <t>total nights</t>
  </si>
  <si>
    <t>Deluxe Family Duplex + ABF</t>
  </si>
  <si>
    <t>CHD SHARE BED + ABF</t>
  </si>
  <si>
    <t>Deluxe Thai Village + ABF</t>
  </si>
  <si>
    <t>TWO BEDROOM FAMILY SUITE BEACH WING + ABF</t>
  </si>
  <si>
    <t>Extra Bed</t>
  </si>
  <si>
    <t>Deluxe Family + ABF</t>
  </si>
  <si>
    <t>Garden Wing/ Superior Pool View + abf</t>
  </si>
  <si>
    <t>CHD EXTRA BED + ABF</t>
  </si>
  <si>
    <t>Deluxe Pool View + ABF</t>
  </si>
  <si>
    <t>Tropical Pool Side Connecting + ABF</t>
  </si>
  <si>
    <t>Superior Pool View Room + ABF</t>
  </si>
  <si>
    <t>Superior Garden Wing+ABF</t>
  </si>
  <si>
    <t>Junior Suite Beach Wing + ABF</t>
  </si>
  <si>
    <t>EXTRA BED + ABF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</si>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</sst>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E87FB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16" fillId="0" borderId="0" xfId="0" applyFont="1" applyAlignment="1">
      <alignment horizontal="right"/>
    </xf>
    <xf numFmtId="0" fontId="16" fillId="0" borderId="0" xfId="0" applyFont="1"/>
    <xf numFmtId="0" fontId="16" fillId="33" borderId="0" xfId="0" applyFont="1" applyFill="1"/>
    <xf numFmtId="1" fontId="0" fillId="0" borderId="0" xfId="0" applyNumberFormat="1"/>
    <xf numFmtId="0" fontId="16" fillId="34" borderId="10" xfId="0" applyFont="1" applyFill="1" applyBorder="1"/>
    <xf numFmtId="0" fontId="16" fillId="34" borderId="10" xfId="0" applyFont="1" applyFill="1" applyBorder="1" applyAlignment="1">
      <alignment horizontal="center"/>
    </xf>
    <xf numFmtId="0" fontId="0" fillId="0" borderId="10" xfId="0" applyBorder="1"/>
    <xf numFmtId="1" fontId="0" fillId="0" borderId="10" xfId="0" applyNumberFormat="1" applyBorder="1" applyAlignment="1">
      <alignment horizontal="center"/>
    </xf>
    <xf numFmtId="0" fontId="16" fillId="35" borderId="0" xfId="0" applyFont="1" applyFill="1"/>
    <xf numFmtId="0" fontId="16" fillId="36" borderId="0" xfId="0" applyFont="1" applyFill="1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11" xfId="0" applyFont="1" applyBorder="1"/>
    <xf numFmtId="0" fontId="20" fillId="0" borderId="12" xfId="0" applyFont="1" applyBorder="1"/>
    <xf numFmtId="43" fontId="20" fillId="0" borderId="12" xfId="42" applyFont="1" applyBorder="1"/>
    <xf numFmtId="0" fontId="21" fillId="0" borderId="13" xfId="0" applyFont="1" applyBorder="1"/>
    <xf numFmtId="0" fontId="22" fillId="0" borderId="10" xfId="0" applyFont="1" applyBorder="1"/>
    <xf numFmtId="43" fontId="22" fillId="0" borderId="10" xfId="42" applyFont="1" applyBorder="1"/>
    <xf numFmtId="0" fontId="21" fillId="0" borderId="15" xfId="0" applyFont="1" applyBorder="1"/>
    <xf numFmtId="0" fontId="22" fillId="0" borderId="16" xfId="0" applyFont="1" applyBorder="1"/>
    <xf numFmtId="43" fontId="22" fillId="0" borderId="16" xfId="42" applyFont="1" applyBorder="1"/>
    <xf numFmtId="43" fontId="18" fillId="0" borderId="19" xfId="42" applyFont="1" applyBorder="1" applyAlignment="1">
      <alignment horizontal="center" vertical="center" wrapText="1"/>
    </xf>
    <xf numFmtId="0" fontId="16" fillId="34" borderId="20" xfId="0" applyFont="1" applyFill="1" applyBorder="1"/>
    <xf numFmtId="0" fontId="16" fillId="34" borderId="20" xfId="0" applyFont="1" applyFill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6" fillId="37" borderId="0" xfId="0" applyFont="1" applyFill="1"/>
    <xf numFmtId="43" fontId="20" fillId="0" borderId="10" xfId="42" applyFont="1" applyBorder="1"/>
    <xf numFmtId="0" fontId="20" fillId="0" borderId="18" xfId="0" applyFont="1" applyBorder="1"/>
    <xf numFmtId="0" fontId="18" fillId="0" borderId="19" xfId="0" applyFont="1" applyBorder="1" applyAlignment="1">
      <alignment horizontal="center" vertical="center" wrapText="1"/>
    </xf>
    <xf numFmtId="0" fontId="20" fillId="0" borderId="21" xfId="0" applyFont="1" applyBorder="1"/>
    <xf numFmtId="0" fontId="22" fillId="0" borderId="22" xfId="0" applyFont="1" applyBorder="1"/>
    <xf numFmtId="0" fontId="22" fillId="0" borderId="23" xfId="0" applyFont="1" applyBorder="1"/>
    <xf numFmtId="0" fontId="18" fillId="0" borderId="24" xfId="0" applyFont="1" applyBorder="1" applyAlignment="1">
      <alignment horizontal="center" vertical="center" wrapText="1"/>
    </xf>
    <xf numFmtId="2" fontId="20" fillId="0" borderId="18" xfId="0" applyNumberFormat="1" applyFont="1" applyBorder="1"/>
    <xf numFmtId="2" fontId="20" fillId="0" borderId="10" xfId="0" applyNumberFormat="1" applyFont="1" applyBorder="1"/>
    <xf numFmtId="2" fontId="20" fillId="0" borderId="14" xfId="0" applyNumberFormat="1" applyFont="1" applyBorder="1"/>
    <xf numFmtId="2" fontId="20" fillId="0" borderId="16" xfId="0" applyNumberFormat="1" applyFont="1" applyBorder="1"/>
    <xf numFmtId="2" fontId="20" fillId="0" borderId="17" xfId="0" applyNumberFormat="1" applyFont="1" applyBorder="1"/>
    <xf numFmtId="2" fontId="20" fillId="0" borderId="25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 xr:uid="{DA9C5ECF-EBA6-4779-B2AF-3722DA51F4CD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E87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2023 - 32 Nights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report!$B$7</c:f>
              <c:strCache>
                <c:ptCount val="1"/>
                <c:pt idx="0">
                  <c:v>total nights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report!$A$8:$A$9</c:f>
              <c:strCache>
                <c:ptCount val="2"/>
                <c:pt idx="0">
                  <c:v>January</c:v>
                </c:pt>
                <c:pt idx="1">
                  <c:v>May</c:v>
                </c:pt>
              </c:strCache>
            </c:strRef>
          </c:cat>
          <c:val>
            <c:numRef>
              <c:f>report!$B$8:$B$9</c:f>
              <c:numCache>
                <c:formatCode>General</c:formatCode>
                <c:ptCount val="2"/>
                <c:pt idx="0">
                  <c:v>28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4-41EC-8AFA-E42BFDEEECC3}"/>
            </c:ext>
          </c:extLst>
        </c:ser>
        <c:ser>
          <c:idx val="1"/>
          <c:order val="1"/>
          <c:tx>
            <c:strRef>
              <c:f>report!$C$7</c:f>
              <c:strCache>
                <c:ptCount val="1"/>
                <c:pt idx="0">
                  <c:v>Shared Bed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report!$A$8:$A$9</c:f>
              <c:strCache>
                <c:ptCount val="2"/>
                <c:pt idx="0">
                  <c:v>January</c:v>
                </c:pt>
                <c:pt idx="1">
                  <c:v>May</c:v>
                </c:pt>
              </c:strCache>
            </c:strRef>
          </c:cat>
          <c:val>
            <c:numRef>
              <c:f>report!$C$8:$C$9</c:f>
              <c:numCache>
                <c:formatCode>General</c:formatCode>
                <c:ptCount val="2"/>
                <c:pt idx="0">
                  <c:v>14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4-41EC-8AFA-E42BFDEEEC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225680"/>
        <c:axId val="155239120"/>
      </c:lineChart>
      <c:catAx>
        <c:axId val="1552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120"/>
        <c:crosses val="autoZero"/>
        <c:auto val="1"/>
        <c:lblAlgn val="ctr"/>
        <c:lblOffset val="100"/>
        <c:noMultiLvlLbl val="0"/>
      </c:catAx>
      <c:valAx>
        <c:axId val="1552391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2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9100411742260344"/>
          <c:y val="6.8031472891694186E-2"/>
          <c:w val="0.10178279656267107"/>
          <c:h val="0.1246226646173195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2024 - 15 Nights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report!$B$40</c:f>
              <c:strCache>
                <c:ptCount val="1"/>
                <c:pt idx="0">
                  <c:v>total nights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report!$A$41:$A$43</c:f>
              <c:strCache>
                <c:ptCount val="3"/>
                <c:pt idx="0">
                  <c:v>January</c:v>
                </c:pt>
                <c:pt idx="1">
                  <c:v>August</c:v>
                </c:pt>
                <c:pt idx="2">
                  <c:v>December</c:v>
                </c:pt>
              </c:strCache>
            </c:strRef>
          </c:cat>
          <c:val>
            <c:numRef>
              <c:f>report!$B$41:$B$43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1-42F5-AC7C-939D3571C40B}"/>
            </c:ext>
          </c:extLst>
        </c:ser>
        <c:ser>
          <c:idx val="1"/>
          <c:order val="1"/>
          <c:tx>
            <c:strRef>
              <c:f>report!$C$40</c:f>
              <c:strCache>
                <c:ptCount val="1"/>
                <c:pt idx="0">
                  <c:v>Shared Bed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report!$A$41:$A$43</c:f>
              <c:strCache>
                <c:ptCount val="3"/>
                <c:pt idx="0">
                  <c:v>January</c:v>
                </c:pt>
                <c:pt idx="1">
                  <c:v>August</c:v>
                </c:pt>
                <c:pt idx="2">
                  <c:v>December</c:v>
                </c:pt>
              </c:strCache>
            </c:strRef>
          </c:cat>
          <c:val>
            <c:numRef>
              <c:f>report!$C$41:$C$43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1-42F5-AC7C-939D3571C40B}"/>
            </c:ext>
          </c:extLst>
        </c:ser>
        <c:ser>
          <c:idx val="2"/>
          <c:order val="2"/>
          <c:tx>
            <c:strRef>
              <c:f>report!$D$40</c:f>
              <c:strCache>
                <c:ptCount val="1"/>
                <c:pt idx="0">
                  <c:v>Extra Bed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report!$A$41:$A$43</c:f>
              <c:strCache>
                <c:ptCount val="3"/>
                <c:pt idx="0">
                  <c:v>January</c:v>
                </c:pt>
                <c:pt idx="1">
                  <c:v>August</c:v>
                </c:pt>
                <c:pt idx="2">
                  <c:v>December</c:v>
                </c:pt>
              </c:strCache>
            </c:strRef>
          </c:cat>
          <c:val>
            <c:numRef>
              <c:f>report!$D$41:$D$43</c:f>
              <c:numCache>
                <c:formatCode>General</c:formatCode>
                <c:ptCount val="3"/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1-42F5-AC7C-939D3571C4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225680"/>
        <c:axId val="155239120"/>
      </c:lineChart>
      <c:catAx>
        <c:axId val="1552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120"/>
        <c:crosses val="autoZero"/>
        <c:auto val="1"/>
        <c:lblAlgn val="ctr"/>
        <c:lblOffset val="100"/>
        <c:noMultiLvlLbl val="0"/>
      </c:catAx>
      <c:valAx>
        <c:axId val="1552391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2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9100411742260344"/>
          <c:y val="6.8031472891694186E-2"/>
          <c:w val="8.6154443530765845E-2"/>
          <c:h val="0.13790238204421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2025 - 16 Nights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report!$B$79</c:f>
              <c:strCache>
                <c:ptCount val="1"/>
                <c:pt idx="0">
                  <c:v>total nights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report!$A$80:$A$82</c:f>
              <c:strCache>
                <c:ptCount val="3"/>
                <c:pt idx="0">
                  <c:v>March</c:v>
                </c:pt>
                <c:pt idx="1">
                  <c:v>June</c:v>
                </c:pt>
                <c:pt idx="2">
                  <c:v>December</c:v>
                </c:pt>
              </c:strCache>
            </c:strRef>
          </c:cat>
          <c:val>
            <c:numRef>
              <c:f>report!$B$80:$B$82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4-4D1E-8552-5289CB125A6C}"/>
            </c:ext>
          </c:extLst>
        </c:ser>
        <c:ser>
          <c:idx val="1"/>
          <c:order val="1"/>
          <c:tx>
            <c:strRef>
              <c:f>report!$C$79</c:f>
              <c:strCache>
                <c:ptCount val="1"/>
                <c:pt idx="0">
                  <c:v>Shared Bed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report!$A$80:$A$82</c:f>
              <c:strCache>
                <c:ptCount val="3"/>
                <c:pt idx="0">
                  <c:v>March</c:v>
                </c:pt>
                <c:pt idx="1">
                  <c:v>June</c:v>
                </c:pt>
                <c:pt idx="2">
                  <c:v>December</c:v>
                </c:pt>
              </c:strCache>
            </c:strRef>
          </c:cat>
          <c:val>
            <c:numRef>
              <c:f>report!$C$80:$C$82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64-4D1E-8552-5289CB125A6C}"/>
            </c:ext>
          </c:extLst>
        </c:ser>
        <c:ser>
          <c:idx val="2"/>
          <c:order val="2"/>
          <c:tx>
            <c:strRef>
              <c:f>report!$D$79</c:f>
              <c:strCache>
                <c:ptCount val="1"/>
                <c:pt idx="0">
                  <c:v>Extra Bed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report!$A$80:$A$82</c:f>
              <c:strCache>
                <c:ptCount val="3"/>
                <c:pt idx="0">
                  <c:v>March</c:v>
                </c:pt>
                <c:pt idx="1">
                  <c:v>June</c:v>
                </c:pt>
                <c:pt idx="2">
                  <c:v>December</c:v>
                </c:pt>
              </c:strCache>
            </c:strRef>
          </c:cat>
          <c:val>
            <c:numRef>
              <c:f>report!$D$80:$D$82</c:f>
              <c:numCache>
                <c:formatCode>General</c:formatCode>
                <c:ptCount val="3"/>
                <c:pt idx="1">
                  <c:v>5</c:v>
                </c:pt>
                <c:pt idx="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64-4D1E-8552-5289CB125A6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225680"/>
        <c:axId val="155239120"/>
      </c:lineChart>
      <c:catAx>
        <c:axId val="1552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120"/>
        <c:crosses val="autoZero"/>
        <c:auto val="1"/>
        <c:lblAlgn val="ctr"/>
        <c:lblOffset val="100"/>
        <c:noMultiLvlLbl val="0"/>
      </c:catAx>
      <c:valAx>
        <c:axId val="1552391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2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9100411742260344"/>
          <c:y val="6.8031472891694186E-2"/>
          <c:w val="8.6154443530765845E-2"/>
          <c:h val="0.13790238204421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en-US" baseline="0"/>
              <a:t> - 209</a:t>
            </a:r>
            <a:r>
              <a:rPr lang="en-US"/>
              <a:t> Nights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report!$B$106</c:f>
              <c:strCache>
                <c:ptCount val="1"/>
                <c:pt idx="0">
                  <c:v>total nights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report!$A$107:$A$113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</c:strCache>
            </c:strRef>
          </c:cat>
          <c:val>
            <c:numRef>
              <c:f>report!$B$107:$B$113</c:f>
              <c:numCache>
                <c:formatCode>General</c:formatCode>
                <c:ptCount val="7"/>
                <c:pt idx="0">
                  <c:v>5</c:v>
                </c:pt>
                <c:pt idx="1">
                  <c:v>39</c:v>
                </c:pt>
                <c:pt idx="2">
                  <c:v>15</c:v>
                </c:pt>
                <c:pt idx="3">
                  <c:v>3</c:v>
                </c:pt>
                <c:pt idx="4">
                  <c:v>53</c:v>
                </c:pt>
                <c:pt idx="5">
                  <c:v>40</c:v>
                </c:pt>
                <c:pt idx="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0-472D-B1F9-A5C5666A56CE}"/>
            </c:ext>
          </c:extLst>
        </c:ser>
        <c:ser>
          <c:idx val="1"/>
          <c:order val="1"/>
          <c:tx>
            <c:strRef>
              <c:f>report!$C$106</c:f>
              <c:strCache>
                <c:ptCount val="1"/>
                <c:pt idx="0">
                  <c:v>Shared Bed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report!$A$107:$A$113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</c:strCache>
            </c:strRef>
          </c:cat>
          <c:val>
            <c:numRef>
              <c:f>report!$C$107:$C$113</c:f>
              <c:numCache>
                <c:formatCode>General</c:formatCode>
                <c:ptCount val="7"/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B0-472D-B1F9-A5C5666A56CE}"/>
            </c:ext>
          </c:extLst>
        </c:ser>
        <c:ser>
          <c:idx val="2"/>
          <c:order val="2"/>
          <c:tx>
            <c:strRef>
              <c:f>report!$D$106</c:f>
              <c:strCache>
                <c:ptCount val="1"/>
                <c:pt idx="0">
                  <c:v>Extra Bed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report!$A$107:$A$113</c:f>
              <c:strCache>
                <c:ptCount val="7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July</c:v>
                </c:pt>
                <c:pt idx="5">
                  <c:v>August</c:v>
                </c:pt>
                <c:pt idx="6">
                  <c:v>September</c:v>
                </c:pt>
              </c:strCache>
            </c:strRef>
          </c:cat>
          <c:val>
            <c:numRef>
              <c:f>report!$D$107:$D$113</c:f>
              <c:numCache>
                <c:formatCode>General</c:formatCode>
                <c:ptCount val="7"/>
                <c:pt idx="1">
                  <c:v>24</c:v>
                </c:pt>
                <c:pt idx="4">
                  <c:v>37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B0-472D-B1F9-A5C5666A56C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225680"/>
        <c:axId val="155239120"/>
      </c:lineChart>
      <c:catAx>
        <c:axId val="15522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9120"/>
        <c:crosses val="autoZero"/>
        <c:auto val="1"/>
        <c:lblAlgn val="ctr"/>
        <c:lblOffset val="100"/>
        <c:noMultiLvlLbl val="0"/>
      </c:catAx>
      <c:valAx>
        <c:axId val="1552391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22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9100411742260344"/>
          <c:y val="6.8031472891694186E-2"/>
          <c:w val="8.6154443530765845E-2"/>
          <c:h val="0.137902382044219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4631</xdr:colOff>
      <xdr:row>5</xdr:row>
      <xdr:rowOff>84103</xdr:rowOff>
    </xdr:from>
    <xdr:to>
      <xdr:col>22</xdr:col>
      <xdr:colOff>34114</xdr:colOff>
      <xdr:row>29</xdr:row>
      <xdr:rowOff>174401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5BDF18-427F-BF60-EF23-4533D9A2F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20</xdr:col>
      <xdr:colOff>29483</xdr:colOff>
      <xdr:row>63</xdr:row>
      <xdr:rowOff>90298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1B3033-53D7-4ED4-BA0B-FA0606403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</xdr:colOff>
      <xdr:row>71</xdr:row>
      <xdr:rowOff>19050</xdr:rowOff>
    </xdr:from>
    <xdr:to>
      <xdr:col>20</xdr:col>
      <xdr:colOff>105683</xdr:colOff>
      <xdr:row>94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6DD07E-A48E-42E1-8A63-1C9557595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105</xdr:row>
      <xdr:rowOff>0</xdr:rowOff>
    </xdr:from>
    <xdr:to>
      <xdr:col>20</xdr:col>
      <xdr:colOff>29483</xdr:colOff>
      <xdr:row>128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AFEECA-D889-41FE-BD3E-BC2F0A8B0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519BB-6E67-4851-A2B8-97751ADFCDA9}">
  <dimension ref="A3:AA142"/>
  <sheetViews>
    <sheetView zoomScaleNormal="100" workbookViewId="0">
      <selection activeCell="E114" sqref="E114"/>
    </sheetView>
  </sheetViews>
  <sheetFormatPr defaultRowHeight="15" x14ac:dyDescent="0.25"/>
  <cols>
    <col min="1" max="1" width="11.7109375" bestFit="1" customWidth="1"/>
    <col min="2" max="2" width="11.42578125" bestFit="1" customWidth="1"/>
    <col min="3" max="3" width="12.42578125" bestFit="1" customWidth="1"/>
    <col min="4" max="4" width="10.140625" bestFit="1" customWidth="1"/>
    <col min="12" max="12" width="6.7109375" customWidth="1"/>
    <col min="15" max="15" width="50.7109375" bestFit="1" customWidth="1"/>
  </cols>
  <sheetData>
    <row r="3" spans="1:27" ht="61.5" customHeight="1" x14ac:dyDescent="0.25">
      <c r="L3" s="25" t="s">
        <v>21</v>
      </c>
      <c r="M3" s="25"/>
      <c r="N3" s="25"/>
      <c r="O3" s="25"/>
      <c r="P3" s="25"/>
      <c r="Q3" s="25"/>
      <c r="R3" s="25"/>
      <c r="S3" s="25"/>
      <c r="T3" s="25"/>
      <c r="U3" s="25"/>
    </row>
    <row r="4" spans="1:27" x14ac:dyDescent="0.25">
      <c r="AA4" s="2" t="s">
        <v>22</v>
      </c>
    </row>
    <row r="7" spans="1:27" x14ac:dyDescent="0.25">
      <c r="A7" s="3">
        <v>2023</v>
      </c>
      <c r="B7" t="s">
        <v>24</v>
      </c>
      <c r="C7" t="s">
        <v>23</v>
      </c>
    </row>
    <row r="8" spans="1:27" x14ac:dyDescent="0.25">
      <c r="A8" t="s">
        <v>0</v>
      </c>
      <c r="B8">
        <v>28</v>
      </c>
      <c r="C8">
        <v>14</v>
      </c>
    </row>
    <row r="9" spans="1:27" x14ac:dyDescent="0.25">
      <c r="A9" t="s">
        <v>4</v>
      </c>
      <c r="B9">
        <v>4</v>
      </c>
      <c r="C9">
        <v>0</v>
      </c>
    </row>
    <row r="32" spans="15:16" x14ac:dyDescent="0.25">
      <c r="O32" s="23" t="s">
        <v>10</v>
      </c>
      <c r="P32" s="24">
        <v>2023</v>
      </c>
    </row>
    <row r="33" spans="1:16" x14ac:dyDescent="0.25">
      <c r="O33" s="7" t="s">
        <v>25</v>
      </c>
      <c r="P33" s="8">
        <v>21</v>
      </c>
    </row>
    <row r="34" spans="1:16" x14ac:dyDescent="0.25">
      <c r="O34" s="7" t="s">
        <v>27</v>
      </c>
      <c r="P34" s="8">
        <v>7</v>
      </c>
    </row>
    <row r="35" spans="1:16" x14ac:dyDescent="0.25">
      <c r="O35" s="7" t="s">
        <v>28</v>
      </c>
      <c r="P35" s="8">
        <v>4</v>
      </c>
    </row>
    <row r="36" spans="1:16" x14ac:dyDescent="0.25">
      <c r="O36" s="7" t="s">
        <v>26</v>
      </c>
      <c r="P36" s="8">
        <v>14</v>
      </c>
    </row>
    <row r="40" spans="1:16" x14ac:dyDescent="0.25">
      <c r="A40" s="9">
        <v>2024</v>
      </c>
      <c r="B40" t="s">
        <v>24</v>
      </c>
      <c r="C40" t="s">
        <v>23</v>
      </c>
      <c r="D40" t="s">
        <v>29</v>
      </c>
    </row>
    <row r="41" spans="1:16" x14ac:dyDescent="0.25">
      <c r="A41" t="s">
        <v>0</v>
      </c>
      <c r="B41">
        <v>1</v>
      </c>
    </row>
    <row r="42" spans="1:16" x14ac:dyDescent="0.25">
      <c r="A42" t="s">
        <v>7</v>
      </c>
      <c r="B42">
        <v>4</v>
      </c>
      <c r="D42">
        <v>4</v>
      </c>
    </row>
    <row r="43" spans="1:16" x14ac:dyDescent="0.25">
      <c r="A43" t="s">
        <v>9</v>
      </c>
      <c r="B43">
        <v>10</v>
      </c>
    </row>
    <row r="58" spans="19:20" x14ac:dyDescent="0.25">
      <c r="S58" s="4"/>
      <c r="T58" s="4"/>
    </row>
    <row r="59" spans="19:20" x14ac:dyDescent="0.25">
      <c r="T59" s="4"/>
    </row>
    <row r="60" spans="19:20" x14ac:dyDescent="0.25">
      <c r="T60" s="4"/>
    </row>
    <row r="61" spans="19:20" x14ac:dyDescent="0.25">
      <c r="T61" s="4"/>
    </row>
    <row r="62" spans="19:20" x14ac:dyDescent="0.25">
      <c r="T62" s="4"/>
    </row>
    <row r="63" spans="19:20" x14ac:dyDescent="0.25">
      <c r="T63" s="4"/>
    </row>
    <row r="64" spans="19:20" x14ac:dyDescent="0.25">
      <c r="T64" s="4"/>
    </row>
    <row r="66" spans="1:16" x14ac:dyDescent="0.25">
      <c r="O66" s="23" t="s">
        <v>10</v>
      </c>
      <c r="P66" s="24">
        <v>2024</v>
      </c>
    </row>
    <row r="67" spans="1:16" x14ac:dyDescent="0.25">
      <c r="O67" s="7" t="s">
        <v>30</v>
      </c>
      <c r="P67" s="8">
        <v>1</v>
      </c>
    </row>
    <row r="68" spans="1:16" x14ac:dyDescent="0.25">
      <c r="O68" s="7" t="s">
        <v>25</v>
      </c>
      <c r="P68" s="8">
        <v>10</v>
      </c>
    </row>
    <row r="69" spans="1:16" x14ac:dyDescent="0.25">
      <c r="O69" s="7" t="s">
        <v>31</v>
      </c>
      <c r="P69" s="8">
        <v>4</v>
      </c>
    </row>
    <row r="70" spans="1:16" x14ac:dyDescent="0.25">
      <c r="O70" s="7" t="s">
        <v>32</v>
      </c>
      <c r="P70" s="8">
        <v>4</v>
      </c>
    </row>
    <row r="79" spans="1:16" x14ac:dyDescent="0.25">
      <c r="A79" s="10">
        <v>2025</v>
      </c>
      <c r="B79" t="s">
        <v>24</v>
      </c>
      <c r="C79" t="s">
        <v>23</v>
      </c>
      <c r="D79" t="s">
        <v>29</v>
      </c>
    </row>
    <row r="80" spans="1:16" x14ac:dyDescent="0.25">
      <c r="A80" t="s">
        <v>2</v>
      </c>
      <c r="B80">
        <v>5</v>
      </c>
    </row>
    <row r="81" spans="1:4" x14ac:dyDescent="0.25">
      <c r="A81" t="s">
        <v>5</v>
      </c>
      <c r="B81">
        <v>5</v>
      </c>
      <c r="D81">
        <v>5</v>
      </c>
    </row>
    <row r="82" spans="1:4" x14ac:dyDescent="0.25">
      <c r="A82" t="s">
        <v>9</v>
      </c>
      <c r="B82">
        <v>6</v>
      </c>
      <c r="D82">
        <v>6</v>
      </c>
    </row>
    <row r="97" spans="1:16" x14ac:dyDescent="0.25">
      <c r="O97" s="5" t="s">
        <v>10</v>
      </c>
      <c r="P97" s="6">
        <v>2025</v>
      </c>
    </row>
    <row r="98" spans="1:16" x14ac:dyDescent="0.25">
      <c r="O98" s="7" t="s">
        <v>27</v>
      </c>
      <c r="P98" s="8">
        <v>5</v>
      </c>
    </row>
    <row r="99" spans="1:16" x14ac:dyDescent="0.25">
      <c r="O99" s="7" t="s">
        <v>28</v>
      </c>
      <c r="P99" s="8">
        <v>5</v>
      </c>
    </row>
    <row r="100" spans="1:16" x14ac:dyDescent="0.25">
      <c r="O100" s="7" t="s">
        <v>30</v>
      </c>
      <c r="P100" s="8">
        <v>3</v>
      </c>
    </row>
    <row r="101" spans="1:16" x14ac:dyDescent="0.25">
      <c r="O101" s="7" t="s">
        <v>33</v>
      </c>
      <c r="P101" s="8">
        <v>3</v>
      </c>
    </row>
    <row r="102" spans="1:16" x14ac:dyDescent="0.25">
      <c r="O102" s="7" t="s">
        <v>32</v>
      </c>
      <c r="P102" s="8">
        <v>11</v>
      </c>
    </row>
    <row r="106" spans="1:16" x14ac:dyDescent="0.25">
      <c r="A106" s="26">
        <v>2026</v>
      </c>
      <c r="B106" t="s">
        <v>24</v>
      </c>
      <c r="C106" t="s">
        <v>23</v>
      </c>
      <c r="D106" t="s">
        <v>29</v>
      </c>
    </row>
    <row r="107" spans="1:16" x14ac:dyDescent="0.25">
      <c r="A107" t="s">
        <v>0</v>
      </c>
      <c r="B107">
        <v>5</v>
      </c>
    </row>
    <row r="108" spans="1:16" x14ac:dyDescent="0.25">
      <c r="A108" t="s">
        <v>1</v>
      </c>
      <c r="B108">
        <v>39</v>
      </c>
      <c r="C108">
        <v>9</v>
      </c>
      <c r="D108">
        <v>24</v>
      </c>
    </row>
    <row r="109" spans="1:16" x14ac:dyDescent="0.25">
      <c r="A109" t="s">
        <v>2</v>
      </c>
      <c r="B109">
        <v>15</v>
      </c>
    </row>
    <row r="110" spans="1:16" x14ac:dyDescent="0.25">
      <c r="A110" t="s">
        <v>3</v>
      </c>
      <c r="B110">
        <v>3</v>
      </c>
    </row>
    <row r="111" spans="1:16" x14ac:dyDescent="0.25">
      <c r="A111" t="s">
        <v>6</v>
      </c>
      <c r="B111">
        <v>53</v>
      </c>
      <c r="D111">
        <v>37</v>
      </c>
    </row>
    <row r="112" spans="1:16" x14ac:dyDescent="0.25">
      <c r="A112" t="s">
        <v>7</v>
      </c>
      <c r="B112">
        <v>40</v>
      </c>
      <c r="D112">
        <v>30</v>
      </c>
    </row>
    <row r="113" spans="1:2" x14ac:dyDescent="0.25">
      <c r="A113" t="s">
        <v>8</v>
      </c>
      <c r="B113">
        <v>54</v>
      </c>
    </row>
    <row r="131" spans="15:16" x14ac:dyDescent="0.25">
      <c r="O131" s="5" t="s">
        <v>10</v>
      </c>
      <c r="P131" s="6">
        <v>2026</v>
      </c>
    </row>
    <row r="132" spans="15:16" x14ac:dyDescent="0.25">
      <c r="O132" s="7" t="s">
        <v>30</v>
      </c>
      <c r="P132" s="8">
        <v>81</v>
      </c>
    </row>
    <row r="133" spans="15:16" x14ac:dyDescent="0.25">
      <c r="O133" s="7" t="s">
        <v>34</v>
      </c>
      <c r="P133" s="8">
        <v>4</v>
      </c>
    </row>
    <row r="134" spans="15:16" x14ac:dyDescent="0.25">
      <c r="O134" s="7" t="s">
        <v>35</v>
      </c>
      <c r="P134" s="8">
        <v>20</v>
      </c>
    </row>
    <row r="135" spans="15:16" x14ac:dyDescent="0.25">
      <c r="O135" s="7" t="s">
        <v>36</v>
      </c>
      <c r="P135" s="8">
        <v>8</v>
      </c>
    </row>
    <row r="136" spans="15:16" x14ac:dyDescent="0.25">
      <c r="O136" s="7" t="s">
        <v>33</v>
      </c>
      <c r="P136" s="8">
        <v>39</v>
      </c>
    </row>
    <row r="137" spans="15:16" x14ac:dyDescent="0.25">
      <c r="O137" s="7" t="s">
        <v>37</v>
      </c>
      <c r="P137" s="8">
        <v>9</v>
      </c>
    </row>
    <row r="138" spans="15:16" x14ac:dyDescent="0.25">
      <c r="O138" s="7" t="s">
        <v>27</v>
      </c>
      <c r="P138" s="8">
        <v>40</v>
      </c>
    </row>
    <row r="139" spans="15:16" x14ac:dyDescent="0.25">
      <c r="O139" s="7" t="s">
        <v>25</v>
      </c>
      <c r="P139" s="8">
        <v>5</v>
      </c>
    </row>
    <row r="140" spans="15:16" x14ac:dyDescent="0.25">
      <c r="O140" s="7" t="s">
        <v>28</v>
      </c>
      <c r="P140" s="8">
        <v>3</v>
      </c>
    </row>
    <row r="141" spans="15:16" x14ac:dyDescent="0.25">
      <c r="O141" s="7" t="s">
        <v>38</v>
      </c>
      <c r="P141" s="8">
        <v>91</v>
      </c>
    </row>
    <row r="142" spans="15:16" x14ac:dyDescent="0.25">
      <c r="O142" s="7" t="s">
        <v>26</v>
      </c>
      <c r="P142" s="8">
        <v>3</v>
      </c>
    </row>
  </sheetData>
  <mergeCells count="1">
    <mergeCell ref="L3:U3"/>
  </mergeCells>
  <phoneticPr fontId="2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A477-9FAA-4502-A2BD-C32AB6427702}">
  <dimension ref="D7:P14"/>
  <sheetViews>
    <sheetView tabSelected="1" topLeftCell="B1" workbookViewId="0">
      <selection activeCell="P7" sqref="P7"/>
    </sheetView>
  </sheetViews>
  <sheetFormatPr defaultRowHeight="15" x14ac:dyDescent="0.25"/>
  <cols>
    <col min="6" max="6" width="11.140625" customWidth="1"/>
    <col min="7" max="7" width="20.85546875" customWidth="1"/>
    <col min="8" max="8" width="24.7109375" customWidth="1"/>
    <col min="9" max="9" width="25.85546875" customWidth="1"/>
    <col min="10" max="10" width="11.85546875" customWidth="1"/>
    <col min="13" max="13" width="32.5703125" customWidth="1"/>
    <col min="14" max="14" width="14.7109375" customWidth="1"/>
    <col min="15" max="15" width="30.5703125" customWidth="1"/>
    <col min="16" max="16" width="14.7109375" customWidth="1"/>
  </cols>
  <sheetData>
    <row r="7" spans="4:16" ht="61.5" customHeight="1" x14ac:dyDescent="0.25">
      <c r="E7" s="25" t="s">
        <v>21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11"/>
    </row>
    <row r="8" spans="4:16" x14ac:dyDescent="0.25">
      <c r="O8" s="1" t="s">
        <v>22</v>
      </c>
      <c r="P8" s="1"/>
    </row>
    <row r="9" spans="4:16" ht="15.75" thickBot="1" x14ac:dyDescent="0.3">
      <c r="O9" s="1"/>
      <c r="P9" s="1"/>
    </row>
    <row r="10" spans="4:16" ht="42.75" thickBot="1" x14ac:dyDescent="0.3">
      <c r="D10" s="12"/>
      <c r="E10" s="29" t="s">
        <v>11</v>
      </c>
      <c r="F10" s="29" t="s">
        <v>12</v>
      </c>
      <c r="G10" s="22" t="s">
        <v>13</v>
      </c>
      <c r="H10" s="22" t="s">
        <v>14</v>
      </c>
      <c r="I10" s="22" t="s">
        <v>15</v>
      </c>
      <c r="J10" s="29" t="s">
        <v>16</v>
      </c>
      <c r="K10" s="29" t="s">
        <v>17</v>
      </c>
      <c r="L10" s="29" t="s">
        <v>18</v>
      </c>
      <c r="M10" s="33" t="s">
        <v>19</v>
      </c>
      <c r="N10" s="29" t="s">
        <v>39</v>
      </c>
      <c r="O10" s="29" t="s">
        <v>20</v>
      </c>
      <c r="P10" s="29" t="s">
        <v>39</v>
      </c>
    </row>
    <row r="11" spans="4:16" ht="21" x14ac:dyDescent="0.35">
      <c r="D11" s="13">
        <v>2023</v>
      </c>
      <c r="E11" s="14">
        <v>3</v>
      </c>
      <c r="F11" s="14">
        <v>32</v>
      </c>
      <c r="G11" s="15">
        <f>H11+I11</f>
        <v>238108.04</v>
      </c>
      <c r="H11" s="15">
        <v>229868.04</v>
      </c>
      <c r="I11" s="15">
        <v>8240</v>
      </c>
      <c r="J11" s="14">
        <v>10.67</v>
      </c>
      <c r="K11" s="14">
        <v>11</v>
      </c>
      <c r="L11" s="14">
        <v>10</v>
      </c>
      <c r="M11" s="30">
        <v>1</v>
      </c>
      <c r="N11" s="34">
        <f>M11*100/E11</f>
        <v>33.333333333333336</v>
      </c>
      <c r="O11" s="28">
        <v>2</v>
      </c>
      <c r="P11" s="39">
        <f>O11*100/E11</f>
        <v>66.666666666666671</v>
      </c>
    </row>
    <row r="12" spans="4:16" ht="21" x14ac:dyDescent="0.35">
      <c r="D12" s="16">
        <v>2024</v>
      </c>
      <c r="E12" s="17">
        <v>4</v>
      </c>
      <c r="F12" s="17">
        <v>15</v>
      </c>
      <c r="G12" s="27">
        <f>H12+I12</f>
        <v>112643</v>
      </c>
      <c r="H12" s="18">
        <v>109643</v>
      </c>
      <c r="I12" s="18">
        <v>3000</v>
      </c>
      <c r="J12" s="17">
        <v>3.75</v>
      </c>
      <c r="K12" s="17">
        <v>8</v>
      </c>
      <c r="L12" s="17">
        <v>5</v>
      </c>
      <c r="M12" s="31">
        <v>2</v>
      </c>
      <c r="N12" s="35">
        <f t="shared" ref="N12:N14" si="0">M12*100/E12</f>
        <v>50</v>
      </c>
      <c r="O12" s="17">
        <v>2</v>
      </c>
      <c r="P12" s="36">
        <f t="shared" ref="P12:P14" si="1">O12*100/E12</f>
        <v>50</v>
      </c>
    </row>
    <row r="13" spans="4:16" ht="21" x14ac:dyDescent="0.35">
      <c r="D13" s="16">
        <v>2025</v>
      </c>
      <c r="E13" s="17">
        <v>4</v>
      </c>
      <c r="F13" s="17">
        <v>16</v>
      </c>
      <c r="G13" s="18">
        <f>H13+I13</f>
        <v>183400</v>
      </c>
      <c r="H13" s="18">
        <v>173650</v>
      </c>
      <c r="I13" s="18">
        <v>9750</v>
      </c>
      <c r="J13" s="17">
        <v>4</v>
      </c>
      <c r="K13" s="17">
        <v>13</v>
      </c>
      <c r="L13" s="17">
        <v>10</v>
      </c>
      <c r="M13" s="31">
        <v>1</v>
      </c>
      <c r="N13" s="35">
        <f t="shared" si="0"/>
        <v>25</v>
      </c>
      <c r="O13" s="17">
        <v>3</v>
      </c>
      <c r="P13" s="36">
        <f t="shared" si="1"/>
        <v>75</v>
      </c>
    </row>
    <row r="14" spans="4:16" ht="21.75" thickBot="1" x14ac:dyDescent="0.4">
      <c r="D14" s="19">
        <v>2026</v>
      </c>
      <c r="E14" s="20">
        <v>18</v>
      </c>
      <c r="F14" s="20">
        <v>209</v>
      </c>
      <c r="G14" s="21">
        <f>H14+I14</f>
        <v>1929972.6</v>
      </c>
      <c r="H14" s="21">
        <v>1868372.6</v>
      </c>
      <c r="I14" s="21">
        <v>61600</v>
      </c>
      <c r="J14" s="20">
        <v>11.61</v>
      </c>
      <c r="K14" s="20">
        <v>90</v>
      </c>
      <c r="L14" s="20">
        <v>59</v>
      </c>
      <c r="M14" s="32">
        <v>2</v>
      </c>
      <c r="N14" s="37">
        <f t="shared" si="0"/>
        <v>11.111111111111111</v>
      </c>
      <c r="O14" s="20">
        <v>16</v>
      </c>
      <c r="P14" s="38">
        <f t="shared" si="1"/>
        <v>88.888888888888886</v>
      </c>
    </row>
  </sheetData>
  <mergeCells count="1">
    <mergeCell ref="E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Thanawit Chutimantanon</dc:creator>
  <cp:lastModifiedBy>Moon Holiday1</cp:lastModifiedBy>
  <cp:lastPrinted>2024-08-29T04:59:54Z</cp:lastPrinted>
  <dcterms:created xsi:type="dcterms:W3CDTF">2024-08-28T11:13:00Z</dcterms:created>
  <dcterms:modified xsi:type="dcterms:W3CDTF">2026-04-24T10:00:00Z</dcterms:modified>
</cp:coreProperties>
</file>