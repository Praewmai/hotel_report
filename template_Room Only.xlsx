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-079\Desktop\Total Nights\"/>
    </mc:Choice>
  </mc:AlternateContent>
  <xr:revisionPtr revIDLastSave="0" documentId="8_{D1FE83C9-3AEF-40B6-900F-5C504C4196BE}" xr6:coauthVersionLast="47" xr6:coauthVersionMax="47" xr10:uidLastSave="{00000000-0000-0000-0000-000000000000}"/>
  <bookViews>
    <workbookView xWindow="28680" yWindow="-120" windowWidth="29040" windowHeight="15720" activeTab="1" xr2:uid="{85F0781B-DDD8-4AD0-8C8D-3D0264FE252A}"/>
  </bookViews>
  <sheets>
    <sheet name="Graph" sheetId="2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6" i="1"/>
</calcChain>
</file>

<file path=xl/sharedStrings.xml><?xml version="1.0" encoding="utf-8"?>
<sst xmlns="http://schemas.openxmlformats.org/spreadsheetml/2006/main" count="77" uniqueCount="34">
  <si>
    <t>Total VC</t>
  </si>
  <si>
    <t>Total Nights</t>
  </si>
  <si>
    <t>Total Cost</t>
  </si>
  <si>
    <t>Total Cost - Nights</t>
  </si>
  <si>
    <t>Total Cost - Other</t>
  </si>
  <si>
    <t>Average Nights</t>
  </si>
  <si>
    <t>ADT</t>
  </si>
  <si>
    <t>CHD</t>
  </si>
  <si>
    <t>Total VC - ADT ONLY</t>
  </si>
  <si>
    <t>Total VC - ADT+CHD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</si>
  <si>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</si>
  <si>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</si>
  <si>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</si>
  <si>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</si>
  <si>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</si>
  <si>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</si>
  <si>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</si>
  <si>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</si>
  <si>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</si>
  <si>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</si>
  <si>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February</t>
  </si>
  <si>
    <t>December</t>
  </si>
  <si>
    <t>Room Type</t>
  </si>
  <si>
    <t>TOTAL</t>
  </si>
  <si>
    <t>update 14 APR 26</t>
  </si>
  <si>
    <t>Anantara Rasananda Koh Phangan Villas</t>
  </si>
  <si>
    <t>Anantara Rasananda-Garden Pool Suite+ABF</t>
  </si>
  <si>
    <t>Anantara Rasananda-Ocean Garden Pool Suite+ABF</t>
  </si>
  <si>
    <t>Anantara Rasananda-Ocean Pool Suite+ABF</t>
  </si>
  <si>
    <t>Anantara Rasananda-POOL SUITE+ABF</t>
  </si>
  <si>
    <t>LAGOON POOL VILLA + ABF</t>
  </si>
  <si>
    <t>Two Bedroom Pool Villa + ABF</t>
  </si>
  <si>
    <t>OCEAN POOL VILLA + ABF</t>
  </si>
  <si>
    <t>Pool suite + 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</si>
</sst>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center"/>
    </xf>
    <xf numFmtId="164" fontId="2" fillId="0" borderId="2" xfId="1" applyFont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64" fontId="2" fillId="0" borderId="7" xfId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10" xfId="1" applyFont="1" applyBorder="1" applyAlignment="1">
      <alignment horizontal="center" vertical="center" wrapText="1"/>
    </xf>
    <xf numFmtId="164" fontId="2" fillId="0" borderId="11" xfId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6" fillId="2" borderId="2" xfId="1" applyFont="1" applyFill="1" applyBorder="1" applyAlignment="1">
      <alignment horizontal="center" vertical="center"/>
    </xf>
    <xf numFmtId="0" fontId="6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2" xfId="0" applyFont="1" applyBorder="1"/>
    <xf numFmtId="0" fontId="5" fillId="0" borderId="0" xfId="0" applyFont="1" applyAlignment="1">
      <alignment horizontal="left"/>
    </xf>
  </cellXfs>
  <cellStyles count="2">
    <cellStyle name="Comma 2" xfId="1" xr:uid="{B8E5A2B7-9A34-4FE1-A6C1-23D90474F70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2024 - 170 Nights</a:t>
            </a:r>
          </a:p>
        </c:rich>
      </c:tx>
      <c:layout>
        <c:manualLayout>
          <c:xMode val="edge"/>
          <c:yMode val="edge"/>
          <c:x val="0.44602280801675886"/>
          <c:y val="1.510994876342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362227669385451E-3"/>
          <c:y val="7.109188354408684E-2"/>
          <c:w val="0.98765432098765427"/>
          <c:h val="0.82046710348485907"/>
        </c:manualLayout>
      </c:layout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Graph!$B$5:$B$16</c:f>
              <c:numCache>
                <c:formatCode>General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3</c:v>
                </c:pt>
                <c:pt idx="3">
                  <c:v>0</c:v>
                </c:pt>
                <c:pt idx="4">
                  <c:v>12</c:v>
                </c:pt>
                <c:pt idx="5">
                  <c:v>4</c:v>
                </c:pt>
                <c:pt idx="6">
                  <c:v>15</c:v>
                </c:pt>
                <c:pt idx="7">
                  <c:v>26</c:v>
                </c:pt>
                <c:pt idx="8">
                  <c:v>4</c:v>
                </c:pt>
                <c:pt idx="9">
                  <c:v>48</c:v>
                </c:pt>
                <c:pt idx="10">
                  <c:v>10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C-46BF-95D7-52689D89C8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17179935"/>
        <c:axId val="477238303"/>
      </c:lineChart>
      <c:catAx>
        <c:axId val="8171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3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38303"/>
        <c:crosses val="autoZero"/>
        <c:auto val="1"/>
        <c:lblAlgn val="ctr"/>
        <c:lblOffset val="100"/>
        <c:noMultiLvlLbl val="0"/>
      </c:catAx>
      <c:valAx>
        <c:axId val="4772383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71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2025 - 180 Nights</a:t>
            </a:r>
          </a:p>
        </c:rich>
      </c:tx>
      <c:layout>
        <c:manualLayout>
          <c:xMode val="edge"/>
          <c:yMode val="edge"/>
          <c:x val="0.44332678126011987"/>
          <c:y val="1.7823196706873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362227669385451E-3"/>
          <c:y val="7.109188354408684E-2"/>
          <c:w val="0.98765432098765427"/>
          <c:h val="0.82046710348485907"/>
        </c:manualLayout>
      </c:layout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Graph!$B$19:$B$30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33</c:v>
                </c:pt>
                <c:pt idx="4">
                  <c:v>9</c:v>
                </c:pt>
                <c:pt idx="5">
                  <c:v>0</c:v>
                </c:pt>
                <c:pt idx="6">
                  <c:v>23</c:v>
                </c:pt>
                <c:pt idx="7">
                  <c:v>5</c:v>
                </c:pt>
                <c:pt idx="8">
                  <c:v>53</c:v>
                </c:pt>
                <c:pt idx="9">
                  <c:v>21</c:v>
                </c:pt>
                <c:pt idx="10">
                  <c:v>5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C-4947-AF0B-48A78AD10C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17179935"/>
        <c:axId val="477238303"/>
      </c:lineChart>
      <c:catAx>
        <c:axId val="8171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3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38303"/>
        <c:crosses val="autoZero"/>
        <c:auto val="1"/>
        <c:lblAlgn val="ctr"/>
        <c:lblOffset val="100"/>
        <c:noMultiLvlLbl val="0"/>
      </c:catAx>
      <c:valAx>
        <c:axId val="4772383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71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2026 - 165 Nights</a:t>
            </a:r>
          </a:p>
        </c:rich>
      </c:tx>
      <c:layout>
        <c:manualLayout>
          <c:xMode val="edge"/>
          <c:yMode val="edge"/>
          <c:x val="0.4428465606454749"/>
          <c:y val="1.7826409855297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362227669385451E-3"/>
          <c:y val="7.109188354408684E-2"/>
          <c:w val="0.98765432098765427"/>
          <c:h val="0.82046710348485907"/>
        </c:manualLayout>
      </c:layout>
      <c:lineChart>
        <c:grouping val="stacke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Graph!$A$33:$A$42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Graph!$B$33:$B$42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2</c:v>
                </c:pt>
                <c:pt idx="3">
                  <c:v>63</c:v>
                </c:pt>
                <c:pt idx="4">
                  <c:v>18</c:v>
                </c:pt>
                <c:pt idx="5">
                  <c:v>7</c:v>
                </c:pt>
                <c:pt idx="6">
                  <c:v>2</c:v>
                </c:pt>
                <c:pt idx="7">
                  <c:v>25</c:v>
                </c:pt>
                <c:pt idx="8">
                  <c:v>14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B-4162-8845-24A1A8610F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17179935"/>
        <c:axId val="477238303"/>
      </c:lineChart>
      <c:catAx>
        <c:axId val="8171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3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38303"/>
        <c:crosses val="autoZero"/>
        <c:auto val="1"/>
        <c:lblAlgn val="ctr"/>
        <c:lblOffset val="100"/>
        <c:noMultiLvlLbl val="0"/>
      </c:catAx>
      <c:valAx>
        <c:axId val="4772383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717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99059</xdr:colOff>
      <xdr:row>3</xdr:row>
      <xdr:rowOff>130492</xdr:rowOff>
    </xdr:from>
    <xdr:to>
      <xdr:col>40</xdr:col>
      <xdr:colOff>520065</xdr:colOff>
      <xdr:row>53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B809B-3EBA-489A-B218-0ECFB77FF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65722</xdr:colOff>
      <xdr:row>67</xdr:row>
      <xdr:rowOff>69532</xdr:rowOff>
    </xdr:from>
    <xdr:to>
      <xdr:col>40</xdr:col>
      <xdr:colOff>525642</xdr:colOff>
      <xdr:row>115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49C75-4490-46B8-AEFE-DD1F4D40F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62865</xdr:colOff>
      <xdr:row>130</xdr:row>
      <xdr:rowOff>86676</xdr:rowOff>
    </xdr:from>
    <xdr:to>
      <xdr:col>40</xdr:col>
      <xdr:colOff>551498</xdr:colOff>
      <xdr:row>178</xdr:row>
      <xdr:rowOff>119061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F5A95-0578-4A28-AA65-DDED67EEE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178-0BCA-4DB5-A373-9F0D8B46E7C7}">
  <sheetPr>
    <pageSetUpPr fitToPage="1"/>
  </sheetPr>
  <dimension ref="A3:AP190"/>
  <sheetViews>
    <sheetView zoomScale="40" zoomScaleNormal="40" zoomScaleSheetLayoutView="40" workbookViewId="0"/>
  </sheetViews>
  <sheetFormatPr defaultRowHeight="14.4" x14ac:dyDescent="0.3"/>
  <cols>
    <col min="1" max="1" width="9.88671875" bestFit="1" customWidth="1"/>
    <col min="2" max="2" width="9" bestFit="1" customWidth="1"/>
    <col min="6" max="18" width="9" bestFit="1" customWidth="1"/>
    <col min="19" max="19" width="3.5546875" bestFit="1" customWidth="1"/>
    <col min="20" max="20" width="10.77734375" bestFit="1" customWidth="1"/>
    <col min="21" max="22" width="9" bestFit="1" customWidth="1"/>
    <col min="23" max="23" width="106.6640625" bestFit="1" customWidth="1"/>
    <col min="24" max="24" width="11.88671875" bestFit="1" customWidth="1"/>
    <col min="25" max="41" width="9" bestFit="1" customWidth="1"/>
  </cols>
  <sheetData>
    <row r="3" spans="1:42" ht="76.8" x14ac:dyDescent="0.5">
      <c r="F3" s="25" t="s">
        <v>25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8" t="s">
        <v>24</v>
      </c>
      <c r="AN3" s="28"/>
      <c r="AO3" s="28"/>
      <c r="AP3" s="28"/>
    </row>
    <row r="4" spans="1:42" x14ac:dyDescent="0.3">
      <c r="A4">
        <v>2024</v>
      </c>
      <c r="B4">
        <v>170</v>
      </c>
    </row>
    <row r="5" spans="1:42" x14ac:dyDescent="0.3">
      <c r="A5" t="s">
        <v>10</v>
      </c>
      <c r="B5">
        <v>6</v>
      </c>
    </row>
    <row r="6" spans="1:42" x14ac:dyDescent="0.3">
      <c r="A6" t="s">
        <v>20</v>
      </c>
      <c r="B6">
        <v>10</v>
      </c>
    </row>
    <row r="7" spans="1:42" x14ac:dyDescent="0.3">
      <c r="A7" t="s">
        <v>11</v>
      </c>
      <c r="B7">
        <v>3</v>
      </c>
    </row>
    <row r="8" spans="1:42" x14ac:dyDescent="0.3">
      <c r="A8" t="s">
        <v>12</v>
      </c>
      <c r="B8">
        <v>0</v>
      </c>
    </row>
    <row r="9" spans="1:42" x14ac:dyDescent="0.3">
      <c r="A9" t="s">
        <v>13</v>
      </c>
      <c r="B9">
        <v>12</v>
      </c>
    </row>
    <row r="10" spans="1:42" x14ac:dyDescent="0.3">
      <c r="A10" t="s">
        <v>14</v>
      </c>
      <c r="B10">
        <v>4</v>
      </c>
    </row>
    <row r="11" spans="1:42" x14ac:dyDescent="0.3">
      <c r="A11" t="s">
        <v>15</v>
      </c>
      <c r="B11">
        <v>15</v>
      </c>
    </row>
    <row r="12" spans="1:42" x14ac:dyDescent="0.3">
      <c r="A12" t="s">
        <v>16</v>
      </c>
      <c r="B12">
        <v>26</v>
      </c>
    </row>
    <row r="13" spans="1:42" x14ac:dyDescent="0.3">
      <c r="A13" t="s">
        <v>17</v>
      </c>
      <c r="B13">
        <v>4</v>
      </c>
    </row>
    <row r="14" spans="1:42" x14ac:dyDescent="0.3">
      <c r="A14" t="s">
        <v>18</v>
      </c>
      <c r="B14">
        <v>48</v>
      </c>
    </row>
    <row r="15" spans="1:42" x14ac:dyDescent="0.3">
      <c r="A15" t="s">
        <v>19</v>
      </c>
      <c r="B15">
        <v>10</v>
      </c>
    </row>
    <row r="16" spans="1:42" x14ac:dyDescent="0.3">
      <c r="A16" t="s">
        <v>21</v>
      </c>
      <c r="B16">
        <v>32</v>
      </c>
    </row>
    <row r="18" spans="1:2" x14ac:dyDescent="0.3">
      <c r="A18">
        <v>2025</v>
      </c>
      <c r="B18">
        <v>180</v>
      </c>
    </row>
    <row r="19" spans="1:2" x14ac:dyDescent="0.3">
      <c r="A19" t="s">
        <v>10</v>
      </c>
      <c r="B19">
        <v>5</v>
      </c>
    </row>
    <row r="20" spans="1:2" x14ac:dyDescent="0.3">
      <c r="A20" t="s">
        <v>20</v>
      </c>
      <c r="B20">
        <v>5</v>
      </c>
    </row>
    <row r="21" spans="1:2" x14ac:dyDescent="0.3">
      <c r="A21" t="s">
        <v>11</v>
      </c>
      <c r="B21">
        <v>7</v>
      </c>
    </row>
    <row r="22" spans="1:2" x14ac:dyDescent="0.3">
      <c r="A22" t="s">
        <v>12</v>
      </c>
      <c r="B22">
        <v>33</v>
      </c>
    </row>
    <row r="23" spans="1:2" x14ac:dyDescent="0.3">
      <c r="A23" t="s">
        <v>13</v>
      </c>
      <c r="B23">
        <v>9</v>
      </c>
    </row>
    <row r="24" spans="1:2" x14ac:dyDescent="0.3">
      <c r="A24" t="s">
        <v>14</v>
      </c>
      <c r="B24">
        <v>0</v>
      </c>
    </row>
    <row r="25" spans="1:2" x14ac:dyDescent="0.3">
      <c r="A25" t="s">
        <v>15</v>
      </c>
      <c r="B25">
        <v>23</v>
      </c>
    </row>
    <row r="26" spans="1:2" x14ac:dyDescent="0.3">
      <c r="A26" t="s">
        <v>16</v>
      </c>
      <c r="B26">
        <v>5</v>
      </c>
    </row>
    <row r="27" spans="1:2" x14ac:dyDescent="0.3">
      <c r="A27" t="s">
        <v>17</v>
      </c>
      <c r="B27">
        <v>53</v>
      </c>
    </row>
    <row r="28" spans="1:2" x14ac:dyDescent="0.3">
      <c r="A28" t="s">
        <v>18</v>
      </c>
      <c r="B28">
        <v>21</v>
      </c>
    </row>
    <row r="29" spans="1:2" x14ac:dyDescent="0.3">
      <c r="A29" t="s">
        <v>19</v>
      </c>
      <c r="B29">
        <v>5</v>
      </c>
    </row>
    <row r="30" spans="1:2" x14ac:dyDescent="0.3">
      <c r="A30" t="s">
        <v>21</v>
      </c>
      <c r="B30">
        <v>14</v>
      </c>
    </row>
    <row r="32" spans="1:2" x14ac:dyDescent="0.3">
      <c r="A32">
        <v>2026</v>
      </c>
      <c r="B32">
        <v>165</v>
      </c>
    </row>
    <row r="33" spans="1:2" x14ac:dyDescent="0.3">
      <c r="A33" t="s">
        <v>10</v>
      </c>
      <c r="B33">
        <v>19</v>
      </c>
    </row>
    <row r="34" spans="1:2" x14ac:dyDescent="0.3">
      <c r="A34" t="s">
        <v>20</v>
      </c>
      <c r="B34">
        <v>11</v>
      </c>
    </row>
    <row r="35" spans="1:2" x14ac:dyDescent="0.3">
      <c r="A35" t="s">
        <v>11</v>
      </c>
      <c r="B35">
        <v>2</v>
      </c>
    </row>
    <row r="36" spans="1:2" x14ac:dyDescent="0.3">
      <c r="A36" t="s">
        <v>12</v>
      </c>
      <c r="B36">
        <v>63</v>
      </c>
    </row>
    <row r="37" spans="1:2" x14ac:dyDescent="0.3">
      <c r="A37" t="s">
        <v>13</v>
      </c>
      <c r="B37">
        <v>18</v>
      </c>
    </row>
    <row r="38" spans="1:2" x14ac:dyDescent="0.3">
      <c r="A38" t="s">
        <v>14</v>
      </c>
      <c r="B38">
        <v>7</v>
      </c>
    </row>
    <row r="39" spans="1:2" x14ac:dyDescent="0.3">
      <c r="A39" t="s">
        <v>15</v>
      </c>
      <c r="B39">
        <v>2</v>
      </c>
    </row>
    <row r="40" spans="1:2" x14ac:dyDescent="0.3">
      <c r="A40" t="s">
        <v>16</v>
      </c>
      <c r="B40">
        <v>25</v>
      </c>
    </row>
    <row r="41" spans="1:2" x14ac:dyDescent="0.3">
      <c r="A41" t="s">
        <v>17</v>
      </c>
      <c r="B41">
        <v>14</v>
      </c>
    </row>
    <row r="42" spans="1:2" x14ac:dyDescent="0.3">
      <c r="A42" t="s">
        <v>18</v>
      </c>
      <c r="B42">
        <v>4</v>
      </c>
    </row>
    <row r="43" spans="1:2" x14ac:dyDescent="0.3">
      <c r="A43" t="s">
        <v>19</v>
      </c>
    </row>
    <row r="44" spans="1:2" x14ac:dyDescent="0.3">
      <c r="A44" t="s">
        <v>21</v>
      </c>
    </row>
    <row r="56" spans="23:24" ht="31.2" x14ac:dyDescent="0.3">
      <c r="W56" s="21" t="s">
        <v>22</v>
      </c>
      <c r="X56" s="22">
        <v>2024</v>
      </c>
    </row>
    <row r="57" spans="23:24" ht="33.6" x14ac:dyDescent="0.65">
      <c r="W57" s="27" t="s">
        <v>26</v>
      </c>
      <c r="X57" s="24">
        <v>63</v>
      </c>
    </row>
    <row r="58" spans="23:24" ht="33.6" x14ac:dyDescent="0.65">
      <c r="W58" s="27" t="s">
        <v>27</v>
      </c>
      <c r="X58" s="24">
        <v>10</v>
      </c>
    </row>
    <row r="59" spans="23:24" ht="33.6" x14ac:dyDescent="0.65">
      <c r="W59" s="27" t="s">
        <v>28</v>
      </c>
      <c r="X59" s="24">
        <v>21</v>
      </c>
    </row>
    <row r="60" spans="23:24" ht="33.6" x14ac:dyDescent="0.65">
      <c r="W60" s="27" t="s">
        <v>29</v>
      </c>
      <c r="X60" s="24">
        <v>57</v>
      </c>
    </row>
    <row r="61" spans="23:24" ht="33.6" x14ac:dyDescent="0.65">
      <c r="W61" s="27" t="s">
        <v>30</v>
      </c>
      <c r="X61" s="24">
        <v>13</v>
      </c>
    </row>
    <row r="62" spans="23:24" ht="33.6" x14ac:dyDescent="0.65">
      <c r="W62" s="27" t="s">
        <v>31</v>
      </c>
      <c r="X62" s="24">
        <v>6</v>
      </c>
    </row>
    <row r="63" spans="23:24" ht="31.2" x14ac:dyDescent="0.3">
      <c r="W63" s="23" t="s">
        <v>23</v>
      </c>
      <c r="X63" s="23">
        <v>170</v>
      </c>
    </row>
    <row r="118" spans="23:24" ht="31.2" x14ac:dyDescent="0.3">
      <c r="W118" s="21" t="s">
        <v>22</v>
      </c>
      <c r="X118" s="22">
        <v>2025</v>
      </c>
    </row>
    <row r="119" spans="23:24" ht="33.6" x14ac:dyDescent="0.65">
      <c r="W119" s="27" t="s">
        <v>26</v>
      </c>
      <c r="X119" s="24">
        <v>52</v>
      </c>
    </row>
    <row r="120" spans="23:24" ht="33.6" x14ac:dyDescent="0.65">
      <c r="W120" s="27" t="s">
        <v>27</v>
      </c>
      <c r="X120" s="24">
        <v>21</v>
      </c>
    </row>
    <row r="121" spans="23:24" ht="33.6" x14ac:dyDescent="0.65">
      <c r="W121" s="27" t="s">
        <v>28</v>
      </c>
      <c r="X121" s="24">
        <v>14</v>
      </c>
    </row>
    <row r="122" spans="23:24" ht="33.6" x14ac:dyDescent="0.65">
      <c r="W122" s="27" t="s">
        <v>29</v>
      </c>
      <c r="X122" s="24">
        <v>66</v>
      </c>
    </row>
    <row r="123" spans="23:24" ht="33.6" x14ac:dyDescent="0.65">
      <c r="W123" s="27" t="s">
        <v>30</v>
      </c>
      <c r="X123" s="24">
        <v>13</v>
      </c>
    </row>
    <row r="124" spans="23:24" ht="33.6" x14ac:dyDescent="0.65">
      <c r="W124" s="27" t="s">
        <v>32</v>
      </c>
      <c r="X124" s="24">
        <v>5</v>
      </c>
    </row>
    <row r="125" spans="23:24" ht="33.6" x14ac:dyDescent="0.65">
      <c r="W125" s="27" t="s">
        <v>33</v>
      </c>
      <c r="X125" s="24">
        <v>9</v>
      </c>
    </row>
    <row r="126" spans="23:24" ht="31.2" x14ac:dyDescent="0.3">
      <c r="W126" s="23" t="s">
        <v>23</v>
      </c>
      <c r="X126" s="23">
        <v>180</v>
      </c>
    </row>
    <row r="181" spans="23:24" ht="31.2" x14ac:dyDescent="0.3">
      <c r="W181" s="21" t="s">
        <v>22</v>
      </c>
      <c r="X181" s="22">
        <v>2026</v>
      </c>
    </row>
    <row r="182" spans="23:24" ht="33.6" x14ac:dyDescent="0.65">
      <c r="W182" s="27" t="s">
        <v>26</v>
      </c>
      <c r="X182" s="24">
        <v>58</v>
      </c>
    </row>
    <row r="183" spans="23:24" ht="33.6" x14ac:dyDescent="0.65">
      <c r="W183" s="27" t="s">
        <v>27</v>
      </c>
      <c r="X183" s="24">
        <v>6</v>
      </c>
    </row>
    <row r="184" spans="23:24" ht="33.6" x14ac:dyDescent="0.65">
      <c r="W184" s="27" t="s">
        <v>28</v>
      </c>
      <c r="X184" s="24">
        <v>2</v>
      </c>
    </row>
    <row r="185" spans="23:24" ht="33.6" x14ac:dyDescent="0.65">
      <c r="W185" s="27" t="s">
        <v>29</v>
      </c>
      <c r="X185" s="24">
        <v>70</v>
      </c>
    </row>
    <row r="186" spans="23:24" ht="33.6" x14ac:dyDescent="0.65">
      <c r="W186" s="27" t="s">
        <v>30</v>
      </c>
      <c r="X186" s="24">
        <v>7</v>
      </c>
    </row>
    <row r="187" spans="23:24" ht="33.6" x14ac:dyDescent="0.65">
      <c r="W187" s="27" t="s">
        <v>32</v>
      </c>
      <c r="X187" s="24">
        <v>5</v>
      </c>
    </row>
    <row r="188" spans="23:24" ht="33.6" x14ac:dyDescent="0.65">
      <c r="W188" s="27" t="s">
        <v>33</v>
      </c>
      <c r="X188" s="24">
        <v>8</v>
      </c>
    </row>
    <row r="189" spans="23:24" ht="33.6" x14ac:dyDescent="0.65">
      <c r="W189" s="27" t="s">
        <v>31</v>
      </c>
      <c r="X189" s="24">
        <v>9</v>
      </c>
    </row>
    <row r="190" spans="23:24" ht="31.2" x14ac:dyDescent="0.3">
      <c r="W190" s="23" t="s">
        <v>23</v>
      </c>
      <c r="X190" s="23">
        <v>165</v>
      </c>
    </row>
  </sheetData>
  <mergeCells count="2">
    <mergeCell ref="F3:AL3"/>
    <mergeCell ref="AM3:AP3"/>
  </mergeCells>
  <printOptions horizontalCentered="1"/>
  <pageMargins left="0.25" right="0.25" top="0.75" bottom="0.75" header="0.3" footer="0.3"/>
  <pageSetup paperSize="9"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8FF3-6184-4505-A30E-B4F85C745171}">
  <sheetPr>
    <pageSetUpPr fitToPage="1"/>
  </sheetPr>
  <dimension ref="B3:O8"/>
  <sheetViews>
    <sheetView tabSelected="1" workbookViewId="0"/>
  </sheetViews>
  <sheetFormatPr defaultRowHeight="14.4" x14ac:dyDescent="0.3"/>
  <cols>
    <col min="2" max="2" width="7.44140625" bestFit="1" customWidth="1"/>
    <col min="3" max="3" width="15.88671875" customWidth="1"/>
    <col min="4" max="4" width="16.33203125" bestFit="1" customWidth="1"/>
    <col min="5" max="5" width="19.109375" bestFit="1" customWidth="1"/>
    <col min="6" max="6" width="24.88671875" bestFit="1" customWidth="1"/>
    <col min="7" max="7" width="24.109375" bestFit="1" customWidth="1"/>
    <col min="8" max="8" width="20.44140625" bestFit="1" customWidth="1"/>
    <col min="9" max="9" width="6.33203125" bestFit="1" customWidth="1"/>
    <col min="10" max="10" width="6.5546875" bestFit="1" customWidth="1"/>
    <col min="11" max="11" width="26.21875" bestFit="1" customWidth="1"/>
    <col min="12" max="12" width="26.109375" bestFit="1" customWidth="1"/>
  </cols>
  <sheetData>
    <row r="3" spans="2:15" ht="51.6" x14ac:dyDescent="0.3">
      <c r="C3" s="26" t="s">
        <v>25</v>
      </c>
      <c r="D3" s="26"/>
      <c r="E3" s="26"/>
      <c r="F3" s="26"/>
      <c r="G3" s="26"/>
      <c r="H3" s="26"/>
      <c r="I3" s="26"/>
      <c r="J3" s="26"/>
      <c r="K3" s="26"/>
      <c r="L3" s="26"/>
      <c r="M3" s="8"/>
      <c r="N3" s="8"/>
      <c r="O3" s="8"/>
    </row>
    <row r="4" spans="2:15" ht="15" thickBot="1" x14ac:dyDescent="0.35">
      <c r="L4" s="1" t="s">
        <v>24</v>
      </c>
    </row>
    <row r="5" spans="2:15" s="3" customFormat="1" ht="42.6" thickBot="1" x14ac:dyDescent="0.35">
      <c r="B5" s="2"/>
      <c r="C5" s="15" t="s">
        <v>0</v>
      </c>
      <c r="D5" s="16" t="s">
        <v>1</v>
      </c>
      <c r="E5" s="17" t="s">
        <v>2</v>
      </c>
      <c r="F5" s="18" t="s">
        <v>3</v>
      </c>
      <c r="G5" s="18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 t="s">
        <v>9</v>
      </c>
    </row>
    <row r="6" spans="2:15" s="3" customFormat="1" ht="21.6" thickBot="1" x14ac:dyDescent="0.45">
      <c r="B6" s="4">
        <v>2024</v>
      </c>
      <c r="C6" s="11">
        <v>37</v>
      </c>
      <c r="D6" s="12">
        <v>170</v>
      </c>
      <c r="E6" s="13">
        <f>F6+G6</f>
        <v>2706012.26</v>
      </c>
      <c r="F6" s="13">
        <v>2584912.2599999998</v>
      </c>
      <c r="G6" s="13">
        <v>121100</v>
      </c>
      <c r="H6" s="12">
        <v>3.92</v>
      </c>
      <c r="I6" s="12">
        <v>95</v>
      </c>
      <c r="J6" s="12">
        <v>55</v>
      </c>
      <c r="K6" s="12">
        <v>12</v>
      </c>
      <c r="L6" s="14">
        <v>25</v>
      </c>
    </row>
    <row r="7" spans="2:15" ht="21" x14ac:dyDescent="0.4">
      <c r="B7" s="4">
        <v>2025</v>
      </c>
      <c r="C7" s="9">
        <v>38</v>
      </c>
      <c r="D7" s="6">
        <v>180</v>
      </c>
      <c r="E7" s="13">
        <f t="shared" ref="E7:E8" si="0">F7+G7</f>
        <v>3207820.37</v>
      </c>
      <c r="F7" s="7">
        <v>3099164.31</v>
      </c>
      <c r="G7" s="7">
        <v>108656.06</v>
      </c>
      <c r="H7" s="6">
        <v>3.79</v>
      </c>
      <c r="I7" s="6">
        <v>122</v>
      </c>
      <c r="J7" s="6">
        <v>48</v>
      </c>
      <c r="K7" s="6">
        <v>16</v>
      </c>
      <c r="L7" s="10">
        <v>22</v>
      </c>
    </row>
    <row r="8" spans="2:15" ht="21" x14ac:dyDescent="0.4">
      <c r="B8" s="5">
        <v>2026</v>
      </c>
      <c r="C8" s="9">
        <v>30</v>
      </c>
      <c r="D8" s="6">
        <v>165</v>
      </c>
      <c r="E8" s="13">
        <f t="shared" si="0"/>
        <v>3260301.03</v>
      </c>
      <c r="F8" s="7">
        <v>3231987.03</v>
      </c>
      <c r="G8" s="7">
        <v>28314</v>
      </c>
      <c r="H8" s="6">
        <v>4.2699999999999996</v>
      </c>
      <c r="I8" s="6">
        <v>81</v>
      </c>
      <c r="J8" s="6">
        <v>42</v>
      </c>
      <c r="K8" s="6">
        <v>10</v>
      </c>
      <c r="L8" s="10">
        <v>20</v>
      </c>
    </row>
  </sheetData>
  <mergeCells count="1">
    <mergeCell ref="C3:L3"/>
  </mergeCells>
  <pageMargins left="0.25" right="0.25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Holidays</dc:creator>
  <cp:lastModifiedBy>LT-079</cp:lastModifiedBy>
  <cp:lastPrinted>2025-11-12T09:02:25Z</cp:lastPrinted>
  <dcterms:created xsi:type="dcterms:W3CDTF">2025-11-04T03:24:01Z</dcterms:created>
  <dcterms:modified xsi:type="dcterms:W3CDTF">2026-04-14T06:35:49Z</dcterms:modified>
</cp:coreProperties>
</file>